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yu-my.sharepoint.com/personal/carterms_byu_edu/Documents/Documents/Research/Spectra-Link/Data/AFRL Compiled EA Data/"/>
    </mc:Choice>
  </mc:AlternateContent>
  <xr:revisionPtr revIDLastSave="191" documentId="8_{6F16E2B4-E4C3-470E-B7B2-B88B7885A5D1}" xr6:coauthVersionLast="47" xr6:coauthVersionMax="47" xr10:uidLastSave="{032ABBE4-58CF-4591-A20C-7FA09C0BFE05}"/>
  <bookViews>
    <workbookView xWindow="-120" yWindow="-120" windowWidth="29040" windowHeight="15720" xr2:uid="{CD00ED08-05B2-419B-B8E3-F14F394DB09C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5" i="1" l="1"/>
  <c r="G25" i="1"/>
  <c r="F26" i="1"/>
  <c r="G26" i="1"/>
  <c r="F27" i="1"/>
  <c r="G27" i="1"/>
  <c r="G24" i="1"/>
  <c r="F24" i="1"/>
  <c r="M18" i="1"/>
  <c r="O21" i="1"/>
  <c r="O19" i="1"/>
  <c r="O20" i="1"/>
  <c r="M20" i="1"/>
  <c r="M21" i="1"/>
  <c r="M19" i="1"/>
  <c r="H19" i="1"/>
  <c r="H20" i="1"/>
  <c r="H21" i="1"/>
  <c r="H18" i="1"/>
  <c r="A25" i="1"/>
  <c r="A24" i="1"/>
  <c r="A23" i="1"/>
  <c r="A22" i="1"/>
  <c r="C22" i="1"/>
  <c r="C25" i="1"/>
  <c r="C24" i="1"/>
  <c r="C23" i="1"/>
  <c r="C21" i="1"/>
  <c r="C20" i="1"/>
  <c r="C19" i="1"/>
  <c r="C18" i="1"/>
  <c r="A19" i="1"/>
  <c r="A21" i="1"/>
  <c r="A20" i="1"/>
  <c r="A18" i="1"/>
</calcChain>
</file>

<file path=xl/sharedStrings.xml><?xml version="1.0" encoding="utf-8"?>
<sst xmlns="http://schemas.openxmlformats.org/spreadsheetml/2006/main" count="51" uniqueCount="16">
  <si>
    <t>16K</t>
  </si>
  <si>
    <t>295K</t>
  </si>
  <si>
    <t>I</t>
  </si>
  <si>
    <t>Br</t>
  </si>
  <si>
    <t>Cl</t>
  </si>
  <si>
    <t>CF3</t>
  </si>
  <si>
    <t>Range 1</t>
  </si>
  <si>
    <t>Range 2</t>
  </si>
  <si>
    <t>Range 3</t>
  </si>
  <si>
    <t>Range 4</t>
  </si>
  <si>
    <t>Range 5</t>
  </si>
  <si>
    <t>uncert</t>
  </si>
  <si>
    <t>left</t>
  </si>
  <si>
    <t>right</t>
  </si>
  <si>
    <t>diff</t>
  </si>
  <si>
    <t>less than 20 meV can't distinguish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</si>
</sst>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12194-FA2B-46ED-977F-334407AD58A2}">
  <dimension ref="A1:R44"/>
  <sheetViews>
    <sheetView tabSelected="1" topLeftCell="A7" workbookViewId="0">
      <selection activeCell="F32" sqref="F32"/>
    </sheetView>
  </sheetViews>
  <sheetFormatPr defaultRowHeight="15" x14ac:dyDescent="0.25"/>
  <cols>
    <col min="1" max="1" width="17.7109375" customWidth="1"/>
    <col min="3" max="3" width="17.7109375" customWidth="1"/>
  </cols>
  <sheetData>
    <row r="1" spans="1:18" x14ac:dyDescent="0.25">
      <c r="B1" t="s">
        <v>0</v>
      </c>
    </row>
    <row r="2" spans="1:18" x14ac:dyDescent="0.25">
      <c r="B2" t="s">
        <v>6</v>
      </c>
      <c r="C2" t="s">
        <v>11</v>
      </c>
      <c r="D2" t="s">
        <v>7</v>
      </c>
      <c r="E2" t="s">
        <v>11</v>
      </c>
      <c r="F2" t="s">
        <v>8</v>
      </c>
      <c r="G2" t="s">
        <v>11</v>
      </c>
      <c r="H2" t="s">
        <v>9</v>
      </c>
      <c r="I2" t="s">
        <v>11</v>
      </c>
    </row>
    <row r="3" spans="1:18" x14ac:dyDescent="0.25">
      <c r="A3" t="s">
        <v>4</v>
      </c>
      <c r="B3" s="2">
        <v>1.6659999999999999</v>
      </c>
      <c r="C3" s="2">
        <v>0.03</v>
      </c>
      <c r="D3" s="2">
        <v>1.65</v>
      </c>
      <c r="E3" s="2">
        <v>2.8000000000000001E-2</v>
      </c>
      <c r="F3" s="2">
        <v>1.669</v>
      </c>
      <c r="G3" s="2">
        <v>5.8999999999999997E-2</v>
      </c>
      <c r="H3" s="2">
        <v>1.702</v>
      </c>
      <c r="I3" s="2">
        <v>4.5999999999999999E-2</v>
      </c>
    </row>
    <row r="4" spans="1:18" x14ac:dyDescent="0.25">
      <c r="A4" t="s">
        <v>3</v>
      </c>
      <c r="B4" s="2">
        <v>1.915</v>
      </c>
      <c r="C4" s="2">
        <v>4.8000000000000001E-2</v>
      </c>
      <c r="D4" s="2">
        <v>1.831</v>
      </c>
      <c r="E4" s="2">
        <v>9.1999999999999998E-2</v>
      </c>
      <c r="F4" s="2">
        <v>1.736</v>
      </c>
      <c r="G4" s="2">
        <v>3.5999999999999997E-2</v>
      </c>
      <c r="H4" s="2">
        <v>1.742</v>
      </c>
      <c r="I4" s="2">
        <v>2.9000000000000001E-2</v>
      </c>
    </row>
    <row r="5" spans="1:18" x14ac:dyDescent="0.25">
      <c r="A5" t="s">
        <v>2</v>
      </c>
      <c r="B5" s="2">
        <v>1.79</v>
      </c>
      <c r="C5" s="2">
        <v>0.10100000000000001</v>
      </c>
      <c r="D5" s="2">
        <v>1.9530000000000001</v>
      </c>
      <c r="E5" s="2">
        <v>4.2000000000000003E-2</v>
      </c>
      <c r="F5" s="2">
        <v>1.524</v>
      </c>
      <c r="G5" s="2">
        <v>4.2999999999999997E-2</v>
      </c>
      <c r="H5" s="2">
        <v>1.663</v>
      </c>
      <c r="I5" s="2">
        <v>0.04</v>
      </c>
    </row>
    <row r="6" spans="1:18" x14ac:dyDescent="0.25">
      <c r="A6" t="s">
        <v>5</v>
      </c>
      <c r="B6" s="2">
        <v>2.31</v>
      </c>
      <c r="C6" s="2">
        <v>4.2999999999999997E-2</v>
      </c>
      <c r="D6" s="2">
        <v>2.6459999999999999</v>
      </c>
      <c r="E6" s="2">
        <v>0.66200000000000003</v>
      </c>
      <c r="F6" s="2">
        <v>1.833</v>
      </c>
      <c r="G6" s="2">
        <v>2.7E-2</v>
      </c>
      <c r="H6" s="2">
        <v>1.897</v>
      </c>
      <c r="I6" s="2">
        <v>2.8000000000000001E-2</v>
      </c>
    </row>
    <row r="9" spans="1:18" x14ac:dyDescent="0.25">
      <c r="B9" t="s">
        <v>0</v>
      </c>
    </row>
    <row r="10" spans="1:18" x14ac:dyDescent="0.25">
      <c r="B10" t="s">
        <v>6</v>
      </c>
      <c r="C10" t="s">
        <v>11</v>
      </c>
      <c r="D10" t="s">
        <v>7</v>
      </c>
      <c r="E10" t="s">
        <v>11</v>
      </c>
      <c r="F10" t="s">
        <v>8</v>
      </c>
      <c r="G10" t="s">
        <v>11</v>
      </c>
      <c r="H10" t="s">
        <v>9</v>
      </c>
      <c r="I10" t="s">
        <v>11</v>
      </c>
    </row>
    <row r="11" spans="1:18" x14ac:dyDescent="0.25">
      <c r="A11" t="s">
        <v>4</v>
      </c>
      <c r="B11" s="1">
        <v>1.67</v>
      </c>
      <c r="C11" s="1">
        <v>0.03</v>
      </c>
      <c r="D11" s="1">
        <v>1.65</v>
      </c>
      <c r="E11" s="1">
        <v>0.03</v>
      </c>
      <c r="F11" s="1">
        <v>1.67</v>
      </c>
      <c r="G11" s="1">
        <v>0.06</v>
      </c>
      <c r="H11" s="1">
        <v>1.7</v>
      </c>
      <c r="I11" s="1">
        <v>0.05</v>
      </c>
      <c r="K11">
        <v>1.6659999999999999</v>
      </c>
      <c r="L11">
        <v>0.03</v>
      </c>
      <c r="M11">
        <v>1.65</v>
      </c>
      <c r="N11">
        <v>2.8000000000000001E-2</v>
      </c>
      <c r="O11">
        <v>1.669</v>
      </c>
      <c r="P11">
        <v>5.8999999999999997E-2</v>
      </c>
      <c r="Q11">
        <v>1.702</v>
      </c>
      <c r="R11">
        <v>4.5999999999999999E-2</v>
      </c>
    </row>
    <row r="12" spans="1:18" x14ac:dyDescent="0.25">
      <c r="A12" t="s">
        <v>3</v>
      </c>
      <c r="B12" s="1">
        <v>1.92</v>
      </c>
      <c r="C12" s="1">
        <v>0.05</v>
      </c>
      <c r="D12" s="1">
        <v>1.83</v>
      </c>
      <c r="E12" s="1">
        <v>0.09</v>
      </c>
      <c r="F12" s="1">
        <v>1.74</v>
      </c>
      <c r="G12" s="1">
        <v>0.04</v>
      </c>
      <c r="H12" s="1">
        <v>1.74</v>
      </c>
      <c r="I12" s="1">
        <v>0.03</v>
      </c>
      <c r="K12">
        <v>1.915</v>
      </c>
      <c r="L12">
        <v>4.8000000000000001E-2</v>
      </c>
      <c r="M12">
        <v>1.831</v>
      </c>
      <c r="N12">
        <v>9.1999999999999998E-2</v>
      </c>
      <c r="O12">
        <v>1.736</v>
      </c>
      <c r="P12">
        <v>3.5999999999999997E-2</v>
      </c>
      <c r="Q12">
        <v>1.742</v>
      </c>
      <c r="R12">
        <v>2.9000000000000001E-2</v>
      </c>
    </row>
    <row r="13" spans="1:18" x14ac:dyDescent="0.25">
      <c r="A13" t="s">
        <v>2</v>
      </c>
      <c r="B13" s="1">
        <v>1.79</v>
      </c>
      <c r="C13" s="1">
        <v>0.1</v>
      </c>
      <c r="D13" s="1">
        <v>1.95</v>
      </c>
      <c r="E13" s="1">
        <v>0.04</v>
      </c>
      <c r="F13" s="1">
        <v>1.52</v>
      </c>
      <c r="G13" s="1">
        <v>0.04</v>
      </c>
      <c r="H13" s="1">
        <v>1.66</v>
      </c>
      <c r="I13" s="1">
        <v>0.04</v>
      </c>
      <c r="K13">
        <v>1.79</v>
      </c>
      <c r="L13">
        <v>0.10100000000000001</v>
      </c>
      <c r="M13">
        <v>1.9530000000000001</v>
      </c>
      <c r="N13">
        <v>4.2000000000000003E-2</v>
      </c>
      <c r="O13">
        <v>1.524</v>
      </c>
      <c r="P13">
        <v>4.2999999999999997E-2</v>
      </c>
      <c r="Q13">
        <v>1.663</v>
      </c>
      <c r="R13">
        <v>0.04</v>
      </c>
    </row>
    <row r="14" spans="1:18" x14ac:dyDescent="0.25">
      <c r="A14" t="s">
        <v>5</v>
      </c>
      <c r="B14" s="1">
        <v>2.31</v>
      </c>
      <c r="C14" s="1">
        <v>0.04</v>
      </c>
      <c r="D14" s="1">
        <v>2.65</v>
      </c>
      <c r="E14" s="1">
        <v>0.66</v>
      </c>
      <c r="F14" s="1">
        <v>1.83</v>
      </c>
      <c r="G14" s="1">
        <v>0.03</v>
      </c>
      <c r="H14" s="1">
        <v>1.9</v>
      </c>
      <c r="I14" s="1">
        <v>0.03</v>
      </c>
      <c r="K14">
        <v>2.31</v>
      </c>
      <c r="L14">
        <v>4.2999999999999997E-2</v>
      </c>
      <c r="M14">
        <v>2.6459999999999999</v>
      </c>
      <c r="N14">
        <v>0.66200000000000003</v>
      </c>
      <c r="O14">
        <v>1.833</v>
      </c>
      <c r="P14">
        <v>2.7E-2</v>
      </c>
      <c r="Q14">
        <v>1.897</v>
      </c>
      <c r="R14">
        <v>2.8000000000000001E-2</v>
      </c>
    </row>
    <row r="17" spans="1:15" x14ac:dyDescent="0.25">
      <c r="F17" t="s">
        <v>12</v>
      </c>
      <c r="G17" t="s">
        <v>13</v>
      </c>
      <c r="H17" t="s">
        <v>14</v>
      </c>
      <c r="K17" t="s">
        <v>12</v>
      </c>
      <c r="L17" t="s">
        <v>13</v>
      </c>
      <c r="M17" t="s">
        <v>14</v>
      </c>
    </row>
    <row r="18" spans="1:15" x14ac:dyDescent="0.25">
      <c r="A18" t="str">
        <f>"a = " &amp; B11 &amp; " ± " &amp; C11</f>
        <v>a = 1.67 ± 0.03</v>
      </c>
      <c r="C18" t="str">
        <f>"a = " &amp; B12 &amp; " ± " &amp; C12</f>
        <v>a = 1.92 ± 0.05</v>
      </c>
      <c r="E18" t="s">
        <v>4</v>
      </c>
      <c r="F18">
        <v>2.5529999999999999</v>
      </c>
      <c r="G18">
        <v>2.5819999999999999</v>
      </c>
      <c r="H18">
        <f>G18-F18</f>
        <v>2.8999999999999915E-2</v>
      </c>
      <c r="J18" t="s">
        <v>4</v>
      </c>
      <c r="K18">
        <v>2.5630000000000002</v>
      </c>
      <c r="L18">
        <v>2.5859999999999999</v>
      </c>
      <c r="M18">
        <f>L18-K18</f>
        <v>2.2999999999999687E-2</v>
      </c>
      <c r="N18" t="s">
        <v>15</v>
      </c>
    </row>
    <row r="19" spans="1:15" x14ac:dyDescent="0.25">
      <c r="A19" t="str">
        <f>"b = " &amp; D11 &amp; " ± " &amp; E11</f>
        <v>b = 1.65 ± 0.03</v>
      </c>
      <c r="C19" t="str">
        <f>"b = " &amp; D12 &amp; " ± " &amp; E12</f>
        <v>b = 1.83 ± 0.09</v>
      </c>
      <c r="E19" t="s">
        <v>3</v>
      </c>
      <c r="F19">
        <v>2.5449999999999999</v>
      </c>
      <c r="G19">
        <v>2.5960000000000001</v>
      </c>
      <c r="H19">
        <f t="shared" ref="H19:H21" si="0">G19-F19</f>
        <v>5.1000000000000156E-2</v>
      </c>
      <c r="J19" t="s">
        <v>3</v>
      </c>
      <c r="K19">
        <v>2.556</v>
      </c>
      <c r="L19">
        <v>2.5790000000000002</v>
      </c>
      <c r="M19">
        <f t="shared" ref="M19:M21" si="1">L19-K19</f>
        <v>2.3000000000000131E-2</v>
      </c>
      <c r="O19">
        <f t="shared" ref="O19:O20" si="2">M19-H19</f>
        <v>-2.8000000000000025E-2</v>
      </c>
    </row>
    <row r="20" spans="1:15" x14ac:dyDescent="0.25">
      <c r="A20" t="str">
        <f>"c = " &amp; F11 &amp; " ± " &amp; G11</f>
        <v>c = 1.67 ± 0.06</v>
      </c>
      <c r="C20" t="str">
        <f>"c = " &amp; F12 &amp; " ± " &amp; G12</f>
        <v>c = 1.74 ± 0.04</v>
      </c>
      <c r="E20" t="s">
        <v>2</v>
      </c>
      <c r="F20">
        <v>2.536</v>
      </c>
      <c r="G20">
        <v>2.5910000000000002</v>
      </c>
      <c r="H20">
        <f t="shared" si="0"/>
        <v>5.500000000000016E-2</v>
      </c>
      <c r="J20" t="s">
        <v>2</v>
      </c>
      <c r="K20">
        <v>2.5449999999999999</v>
      </c>
      <c r="L20">
        <v>2.5739999999999998</v>
      </c>
      <c r="M20">
        <f t="shared" si="1"/>
        <v>2.8999999999999915E-2</v>
      </c>
      <c r="O20">
        <f t="shared" si="2"/>
        <v>-2.6000000000000245E-2</v>
      </c>
    </row>
    <row r="21" spans="1:15" x14ac:dyDescent="0.25">
      <c r="A21" t="str">
        <f>"d = " &amp; H11 &amp; "0 ± " &amp; I11</f>
        <v>d = 1.70 ± 0.05</v>
      </c>
      <c r="C21" t="str">
        <f>"d = " &amp; H12 &amp; " ± " &amp; I12</f>
        <v>d = 1.74 ± 0.03</v>
      </c>
      <c r="E21" t="s">
        <v>5</v>
      </c>
      <c r="F21">
        <v>2.556</v>
      </c>
      <c r="G21">
        <v>2.6190000000000002</v>
      </c>
      <c r="H21">
        <f t="shared" si="0"/>
        <v>6.3000000000000167E-2</v>
      </c>
      <c r="J21" t="s">
        <v>5</v>
      </c>
      <c r="K21">
        <v>2.5659999999999998</v>
      </c>
      <c r="L21">
        <v>2.6059999999999999</v>
      </c>
      <c r="M21">
        <f t="shared" si="1"/>
        <v>4.0000000000000036E-2</v>
      </c>
      <c r="O21">
        <f>M21-H21</f>
        <v>-2.3000000000000131E-2</v>
      </c>
    </row>
    <row r="22" spans="1:15" x14ac:dyDescent="0.25">
      <c r="A22" t="str">
        <f>"a = " &amp; B14 &amp; " ± " &amp; C14</f>
        <v>a = 2.31 ± 0.04</v>
      </c>
      <c r="C22" t="str">
        <f>"a = " &amp; B13 &amp; " ± " &amp; C13 &amp; "0"</f>
        <v>a = 1.79 ± 0.10</v>
      </c>
    </row>
    <row r="23" spans="1:15" x14ac:dyDescent="0.25">
      <c r="A23" t="str">
        <f>"b = " &amp; D14 &amp; " ± " &amp; E14</f>
        <v>b = 2.65 ± 0.66</v>
      </c>
      <c r="C23" t="str">
        <f>"b = " &amp; D13 &amp; " ± " &amp; E13</f>
        <v>b = 1.95 ± 0.04</v>
      </c>
    </row>
    <row r="24" spans="1:15" x14ac:dyDescent="0.25">
      <c r="A24" t="str">
        <f>"c = " &amp; F14 &amp; " ± " &amp; G14</f>
        <v>c = 1.83 ± 0.03</v>
      </c>
      <c r="C24" t="str">
        <f>"c = " &amp; F13 &amp; " ± " &amp; G13</f>
        <v>c = 1.52 ± 0.04</v>
      </c>
      <c r="F24">
        <f>K18-F18</f>
        <v>1.0000000000000231E-2</v>
      </c>
      <c r="G24">
        <f>L18-G18</f>
        <v>4.0000000000000036E-3</v>
      </c>
    </row>
    <row r="25" spans="1:15" x14ac:dyDescent="0.25">
      <c r="A25" t="str">
        <f>"d = " &amp; H14 &amp; "0 ± " &amp; I14</f>
        <v>d = 1.90 ± 0.03</v>
      </c>
      <c r="C25" t="str">
        <f>"d = " &amp; H13 &amp; " ± " &amp; I13</f>
        <v>d = 1.66 ± 0.04</v>
      </c>
      <c r="F25">
        <f t="shared" ref="F25:G25" si="3">K19-F19</f>
        <v>1.1000000000000121E-2</v>
      </c>
      <c r="G25">
        <f t="shared" si="3"/>
        <v>-1.6999999999999904E-2</v>
      </c>
    </row>
    <row r="26" spans="1:15" x14ac:dyDescent="0.25">
      <c r="F26">
        <f t="shared" ref="F26:G26" si="4">K20-F20</f>
        <v>8.999999999999897E-3</v>
      </c>
      <c r="G26">
        <f t="shared" si="4"/>
        <v>-1.7000000000000348E-2</v>
      </c>
    </row>
    <row r="27" spans="1:15" x14ac:dyDescent="0.25">
      <c r="F27">
        <f t="shared" ref="F27:G27" si="5">K21-F21</f>
        <v>9.9999999999997868E-3</v>
      </c>
      <c r="G27">
        <f t="shared" si="5"/>
        <v>-1.3000000000000345E-2</v>
      </c>
    </row>
    <row r="39" spans="1:6" x14ac:dyDescent="0.25">
      <c r="B39" t="s">
        <v>1</v>
      </c>
    </row>
    <row r="40" spans="1:6" x14ac:dyDescent="0.25">
      <c r="B40" t="s">
        <v>6</v>
      </c>
      <c r="C40" t="s">
        <v>7</v>
      </c>
      <c r="D40" t="s">
        <v>8</v>
      </c>
      <c r="E40" t="s">
        <v>9</v>
      </c>
      <c r="F40" t="s">
        <v>10</v>
      </c>
    </row>
    <row r="41" spans="1:6" x14ac:dyDescent="0.25">
      <c r="A41" t="s">
        <v>2</v>
      </c>
    </row>
    <row r="42" spans="1:6" x14ac:dyDescent="0.25">
      <c r="A42" t="s">
        <v>3</v>
      </c>
    </row>
    <row r="43" spans="1:6" x14ac:dyDescent="0.25">
      <c r="A43" t="s">
        <v>4</v>
      </c>
    </row>
    <row r="44" spans="1:6" x14ac:dyDescent="0.25">
      <c r="A44" t="s">
        <v>5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Carter Shirley</dc:creator>
  <cp:lastModifiedBy>Carter Shirley</cp:lastModifiedBy>
  <dcterms:created xsi:type="dcterms:W3CDTF">2026-07-08T20:43:43Z</dcterms:created>
  <dcterms:modified xsi:type="dcterms:W3CDTF">2026-07-16T16:38:13Z</dcterms:modified>
</cp:coreProperties>
</file>